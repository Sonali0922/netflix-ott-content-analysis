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F218502-FF37-4B6D-987D-D6F80002E9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etflix Titles" sheetId="1" r:id="rId1"/>
    <sheet name="Pivots" sheetId="2" r:id="rId2"/>
    <sheet name="Dashboard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P2" i="1"/>
  <c r="P3" i="1"/>
  <c r="P4" i="1"/>
  <c r="P5" i="1"/>
  <c r="P6" i="1"/>
  <c r="O2" i="1"/>
  <c r="O3" i="1"/>
  <c r="O4" i="1"/>
  <c r="O5" i="1"/>
  <c r="O6" i="1"/>
  <c r="N2" i="1"/>
  <c r="N3" i="1"/>
  <c r="N4" i="1"/>
  <c r="N5" i="1"/>
  <c r="N6" i="1"/>
</calcChain>
</file>

<file path=xl/sharedStrings.xml><?xml version="1.0" encoding="utf-8"?>
<sst xmlns="http://schemas.openxmlformats.org/spreadsheetml/2006/main" count="93" uniqueCount="74">
  <si>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</si>
  <si>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</si>
  <si>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</si>
  <si>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</si>
  <si>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</si>
  <si>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</si>
  <si>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</si>
  <si>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</si>
  <si>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</si>
  <si>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</si>
  <si>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</si>
  <si>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</si>
  <si>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</si>
  <si>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Movie</t>
  </si>
  <si>
    <t>Inception</t>
  </si>
  <si>
    <t>Christopher Nolan</t>
  </si>
  <si>
    <t>Leonardo DiCaprio</t>
  </si>
  <si>
    <t>United States</t>
  </si>
  <si>
    <t>September 1, 2020</t>
  </si>
  <si>
    <t>PG-13</t>
  </si>
  <si>
    <t>148 min</t>
  </si>
  <si>
    <t>Sci-Fi, Thriller</t>
  </si>
  <si>
    <t>A thief enters dreams to steal secrets.</t>
  </si>
  <si>
    <t>s2</t>
  </si>
  <si>
    <t>TV Show</t>
  </si>
  <si>
    <t>Stranger Things</t>
  </si>
  <si>
    <t>The Duffer Brothers</t>
  </si>
  <si>
    <t>Millie Bobby Brown</t>
  </si>
  <si>
    <t>July 15, 2016</t>
  </si>
  <si>
    <t>TV-14</t>
  </si>
  <si>
    <t>4 Seasons</t>
  </si>
  <si>
    <t>Drama, Sci-Fi, Horror</t>
  </si>
  <si>
    <t>Kids uncover supernatural mysteries in their town.</t>
  </si>
  <si>
    <t>s3</t>
  </si>
  <si>
    <t>The Irishman</t>
  </si>
  <si>
    <t>Martin Scorsese</t>
  </si>
  <si>
    <t>Robert De Niro</t>
  </si>
  <si>
    <t>November 27, 2019</t>
  </si>
  <si>
    <t>R</t>
  </si>
  <si>
    <t>209 min</t>
  </si>
  <si>
    <t>Crime, Drama</t>
  </si>
  <si>
    <t>A hitman recalls his past.</t>
  </si>
  <si>
    <t>s4</t>
  </si>
  <si>
    <t>RRR</t>
  </si>
  <si>
    <t>S. S. Rajamouli</t>
  </si>
  <si>
    <t>Ram Charan, NTR Jr</t>
  </si>
  <si>
    <t>India</t>
  </si>
  <si>
    <t>May 20, 2022</t>
  </si>
  <si>
    <t>182 min</t>
  </si>
  <si>
    <t>Action, Drama</t>
  </si>
  <si>
    <t>Two revolutionaries fight for freedom.</t>
  </si>
  <si>
    <t>s5</t>
  </si>
  <si>
    <t>Money Heist</t>
  </si>
  <si>
    <t>Álex Pina</t>
  </si>
  <si>
    <t>Úrsula Corberó</t>
  </si>
  <si>
    <t>Spain</t>
  </si>
  <si>
    <t>April 1, 2018</t>
  </si>
  <si>
    <t>TV-MA</t>
  </si>
  <si>
    <t>5 Seasons</t>
  </si>
  <si>
    <t>Action, Crime, Thriller</t>
  </si>
  <si>
    <t>A group plans a massive heist.</t>
  </si>
  <si>
    <t>PrimaryGenre</t>
  </si>
  <si>
    <t>PrimaryCountry</t>
  </si>
  <si>
    <t>DurationMin</t>
  </si>
  <si>
    <t>DateAdded</t>
  </si>
  <si>
    <t>Row Labels</t>
  </si>
  <si>
    <t>Grand Total</t>
  </si>
  <si>
    <t>Count of title</t>
  </si>
  <si>
    <t>Action</t>
  </si>
  <si>
    <t>Crime</t>
  </si>
  <si>
    <t>Drama</t>
  </si>
  <si>
    <t>Sci-Fi</t>
  </si>
  <si>
    <t>Count of type</t>
  </si>
  <si>
    <t>Netflix Content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</si>
</sst>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[netflix_datasetsss.xlsx]Pivots!PivotTable1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737882764654415"/>
          <c:y val="0.27717373869932921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60-40D8-98CE-421C5214F7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60-40D8-98CE-421C5214F7EE}"/>
              </c:ext>
            </c:extLst>
          </c:dPt>
          <c:cat>
            <c:strRef>
              <c:f>Pivots!$A$2:$A$4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Pivots!$B$2:$B$4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8-4E67-90B6-DCD6D040F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[netflix_datasetsss.xlsx]Pivots!PivotTable2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55314960629925"/>
          <c:y val="0.26328484981044037"/>
          <c:w val="0.78015048118985131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Pivots!$I$2:$I$6</c:f>
              <c:strCache>
                <c:ptCount val="4"/>
                <c:pt idx="0">
                  <c:v>Action</c:v>
                </c:pt>
                <c:pt idx="1">
                  <c:v>Crime</c:v>
                </c:pt>
                <c:pt idx="2">
                  <c:v>Drama</c:v>
                </c:pt>
                <c:pt idx="3">
                  <c:v>Sci-Fi</c:v>
                </c:pt>
              </c:strCache>
            </c:strRef>
          </c:cat>
          <c:val>
            <c:numRef>
              <c:f>Pivots!$J$2:$J$6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F-4A7F-8611-695FF12CB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959072"/>
        <c:axId val="537960512"/>
      </c:barChart>
      <c:catAx>
        <c:axId val="5379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60512"/>
        <c:crosses val="autoZero"/>
        <c:auto val="1"/>
        <c:lblAlgn val="ctr"/>
        <c:lblOffset val="100"/>
        <c:noMultiLvlLbl val="0"/>
      </c:catAx>
      <c:valAx>
        <c:axId val="5379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[netflix_datasetsss.xlsx]Pivots!PivotTable3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55314960629925"/>
          <c:y val="0.26328484981044037"/>
          <c:w val="0.78015048118985131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Pivots!$P$1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Pivots!$O$2:$O$5</c:f>
              <c:strCache>
                <c:ptCount val="3"/>
                <c:pt idx="0">
                  <c:v>India</c:v>
                </c:pt>
                <c:pt idx="1">
                  <c:v>Spain</c:v>
                </c:pt>
                <c:pt idx="2">
                  <c:v>United States</c:v>
                </c:pt>
              </c:strCache>
            </c:strRef>
          </c:cat>
          <c:val>
            <c:numRef>
              <c:f>Pivots!$P$2:$P$5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17-4FAE-A99F-748E8380F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959072"/>
        <c:axId val="537960512"/>
      </c:barChart>
      <c:catAx>
        <c:axId val="5379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60512"/>
        <c:crosses val="autoZero"/>
        <c:auto val="1"/>
        <c:lblAlgn val="ctr"/>
        <c:lblOffset val="100"/>
        <c:noMultiLvlLbl val="0"/>
      </c:catAx>
      <c:valAx>
        <c:axId val="5379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5907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[netflix_datasetsss.xlsx]Pivots!PivotTable4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Pivots!$Y$1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Pivots!$X$2:$X$7</c:f>
              <c:strCache>
                <c:ptCount val="5"/>
                <c:pt idx="0">
                  <c:v>2010</c:v>
                </c:pt>
                <c:pt idx="1">
                  <c:v>2016</c:v>
                </c:pt>
                <c:pt idx="2">
                  <c:v>2017</c:v>
                </c:pt>
                <c:pt idx="3">
                  <c:v>2019</c:v>
                </c:pt>
                <c:pt idx="4">
                  <c:v>2022</c:v>
                </c:pt>
              </c:strCache>
            </c:strRef>
          </c:cat>
          <c:val>
            <c:numRef>
              <c:f>Pivots!$Y$2:$Y$7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C-4CD9-AB6C-4F2893AF4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991007"/>
        <c:axId val="1872991487"/>
      </c:lineChart>
      <c:catAx>
        <c:axId val="18729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91487"/>
        <c:crosses val="autoZero"/>
        <c:auto val="1"/>
        <c:lblAlgn val="ctr"/>
        <c:lblOffset val="100"/>
        <c:noMultiLvlLbl val="0"/>
      </c:catAx>
      <c:valAx>
        <c:axId val="187299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9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[netflix_datasetsss.xlsx]Pivots!PivotTable1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055555555555556"/>
          <c:y val="0.26386869449537986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F8-4BEA-8E9E-2DB2D9ECCF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F8-4BEA-8E9E-2DB2D9ECCF6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Pivots!$A$2:$A$4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Pivots!$B$2:$B$4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F8-4BEA-8E9E-2DB2D9ECCF6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56452318460193"/>
          <c:y val="0.3803419264372776"/>
          <c:w val="0.20543547681539809"/>
          <c:h val="0.36657426383345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[netflix_datasetsss.xlsx]Pivots!PivotTable2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55314960629925"/>
          <c:y val="0.26328484981044037"/>
          <c:w val="0.78015048118985131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Pivots!$I$2:$I$6</c:f>
              <c:strCache>
                <c:ptCount val="4"/>
                <c:pt idx="0">
                  <c:v>Action</c:v>
                </c:pt>
                <c:pt idx="1">
                  <c:v>Crime</c:v>
                </c:pt>
                <c:pt idx="2">
                  <c:v>Drama</c:v>
                </c:pt>
                <c:pt idx="3">
                  <c:v>Sci-Fi</c:v>
                </c:pt>
              </c:strCache>
            </c:strRef>
          </c:cat>
          <c:val>
            <c:numRef>
              <c:f>Pivots!$J$2:$J$6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A77-9756-99CDB1B7D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959072"/>
        <c:axId val="537960512"/>
      </c:barChart>
      <c:catAx>
        <c:axId val="5379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60512"/>
        <c:crosses val="autoZero"/>
        <c:auto val="1"/>
        <c:lblAlgn val="ctr"/>
        <c:lblOffset val="100"/>
        <c:noMultiLvlLbl val="0"/>
      </c:catAx>
      <c:valAx>
        <c:axId val="5379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590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[netflix_datasetsss.xlsx]Pivots!PivotTable3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21981627296589"/>
          <c:y val="0.28180336832895886"/>
          <c:w val="0.78015048118985131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Pivots!$P$1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Pivots!$O$2:$O$5</c:f>
              <c:strCache>
                <c:ptCount val="3"/>
                <c:pt idx="0">
                  <c:v>India</c:v>
                </c:pt>
                <c:pt idx="1">
                  <c:v>Spain</c:v>
                </c:pt>
                <c:pt idx="2">
                  <c:v>United States</c:v>
                </c:pt>
              </c:strCache>
            </c:strRef>
          </c:cat>
          <c:val>
            <c:numRef>
              <c:f>Pivots!$P$2:$P$5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9D9-8689-728850B4AF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7959072"/>
        <c:axId val="537960512"/>
      </c:barChart>
      <c:catAx>
        <c:axId val="5379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60512"/>
        <c:crosses val="autoZero"/>
        <c:auto val="1"/>
        <c:lblAlgn val="ctr"/>
        <c:lblOffset val="100"/>
        <c:noMultiLvlLbl val="0"/>
      </c:catAx>
      <c:valAx>
        <c:axId val="5379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5907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[netflix_datasetsss.xlsx]Pivots!PivotTable4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23381452318461"/>
          <c:y val="0.23087744240303296"/>
          <c:w val="0.71671019247594048"/>
          <c:h val="0.53774387576552929"/>
        </c:manualLayout>
      </c:layout>
      <c:lineChart>
        <c:grouping val="percentStacked"/>
        <c:varyColors val="0"/>
        <c:ser>
          <c:idx val="0"/>
          <c:order val="0"/>
          <c:tx>
            <c:strRef>
              <c:f>Pivots!$Y$1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Pivots!$X$2:$X$7</c:f>
              <c:strCache>
                <c:ptCount val="5"/>
                <c:pt idx="0">
                  <c:v>2010</c:v>
                </c:pt>
                <c:pt idx="1">
                  <c:v>2016</c:v>
                </c:pt>
                <c:pt idx="2">
                  <c:v>2017</c:v>
                </c:pt>
                <c:pt idx="3">
                  <c:v>2019</c:v>
                </c:pt>
                <c:pt idx="4">
                  <c:v>2022</c:v>
                </c:pt>
              </c:strCache>
            </c:strRef>
          </c:cat>
          <c:val>
            <c:numRef>
              <c:f>Pivots!$Y$2:$Y$7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2-4AF0-B24A-A2DFA70B31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2991007"/>
        <c:axId val="1872991487"/>
      </c:lineChart>
      <c:catAx>
        <c:axId val="18729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91487"/>
        <c:crosses val="autoZero"/>
        <c:auto val="1"/>
        <c:lblAlgn val="ctr"/>
        <c:lblOffset val="100"/>
        <c:noMultiLvlLbl val="0"/>
      </c:catAx>
      <c:valAx>
        <c:axId val="187299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9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72390</xdr:rowOff>
    </xdr:from>
    <xdr:to>
      <xdr:col>6</xdr:col>
      <xdr:colOff>449580</xdr:colOff>
      <xdr:row>21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71C7B8-A706-2B62-324C-823E9CE39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</xdr:colOff>
      <xdr:row>6</xdr:row>
      <xdr:rowOff>19050</xdr:rowOff>
    </xdr:from>
    <xdr:to>
      <xdr:col>13</xdr:col>
      <xdr:colOff>464820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BCFBC1-02A6-6CE3-2FD1-9D66C72E0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</xdr:colOff>
      <xdr:row>5</xdr:row>
      <xdr:rowOff>179070</xdr:rowOff>
    </xdr:from>
    <xdr:to>
      <xdr:col>20</xdr:col>
      <xdr:colOff>441960</xdr:colOff>
      <xdr:row>20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96DC3F-E172-3F63-2C13-DFEBF18E8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594360</xdr:colOff>
      <xdr:row>8</xdr:row>
      <xdr:rowOff>3810</xdr:rowOff>
    </xdr:from>
    <xdr:to>
      <xdr:col>28</xdr:col>
      <xdr:colOff>434340</xdr:colOff>
      <xdr:row>23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AAE747-FBAA-D180-DD72-0A53C0A7D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B3CD7-6ADF-4366-9B46-A4E11EC0F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594360</xdr:colOff>
      <xdr:row>2</xdr:row>
      <xdr:rowOff>7620</xdr:rowOff>
    </xdr:from>
    <xdr:to>
      <xdr:col>15</xdr:col>
      <xdr:colOff>289560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CE0854-EDC6-483D-9EFC-53D6DB67B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304800</xdr:colOff>
      <xdr:row>35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E06EE9-8B21-40A6-8BBB-EF593F5BB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594360</xdr:colOff>
      <xdr:row>18</xdr:row>
      <xdr:rowOff>121920</xdr:rowOff>
    </xdr:from>
    <xdr:to>
      <xdr:col>15</xdr:col>
      <xdr:colOff>289560</xdr:colOff>
      <xdr:row>35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FFA207-1CA4-4FD0-9C60-919EF63F0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93.493498958334" createdVersion="8" refreshedVersion="8" minRefreshableVersion="3" recordCount="5" xr:uid="{4EEC41FA-F1FC-4EFF-ABF4-725924E3E607}">
  <cacheSource type="worksheet">
    <worksheetSource name="tblNetflix"/>
  </cacheSource>
  <cacheFields count="16">
    <cacheField name="show_id" numFmtId="0">
      <sharedItems/>
    </cacheField>
    <cacheField name="type" numFmtId="0">
      <sharedItems count="2">
        <s v="Movie"/>
        <s v="TV Show"/>
      </sharedItems>
    </cacheField>
    <cacheField name="title" numFmtId="0">
      <sharedItems count="5">
        <s v="Inception"/>
        <s v="Stranger Things"/>
        <s v="The Irishman"/>
        <s v="RRR"/>
        <s v="Money Heist"/>
      </sharedItems>
    </cacheField>
    <cacheField name="director" numFmtId="0">
      <sharedItems/>
    </cacheField>
    <cacheField name="cast" numFmtId="0">
      <sharedItems/>
    </cacheField>
    <cacheField name="country" numFmtId="0">
      <sharedItems count="3">
        <s v="United States"/>
        <s v="India"/>
        <s v="Spain"/>
      </sharedItems>
    </cacheField>
    <cacheField name="date_added" numFmtId="0">
      <sharedItems/>
    </cacheField>
    <cacheField name="release_year" numFmtId="0">
      <sharedItems containsSemiMixedTypes="0" containsString="0" containsNumber="1" containsInteger="1" minValue="2010" maxValue="2022" count="5">
        <n v="2010"/>
        <n v="2016"/>
        <n v="2019"/>
        <n v="2022"/>
        <n v="2017"/>
      </sharedItems>
    </cacheField>
    <cacheField name="rating" numFmtId="0">
      <sharedItems/>
    </cacheField>
    <cacheField name="duration" numFmtId="0">
      <sharedItems/>
    </cacheField>
    <cacheField name="listed_in" numFmtId="0">
      <sharedItems/>
    </cacheField>
    <cacheField name="description" numFmtId="0">
      <sharedItems/>
    </cacheField>
    <cacheField name="DateAdded" numFmtId="0">
      <sharedItems/>
    </cacheField>
    <cacheField name="PrimaryGenre" numFmtId="0">
      <sharedItems count="4">
        <s v="Sci-Fi"/>
        <s v="Drama"/>
        <s v="Crime"/>
        <s v="Action"/>
      </sharedItems>
    </cacheField>
    <cacheField name="PrimaryCountry" numFmtId="0">
      <sharedItems count="3">
        <s v="United States"/>
        <s v="India"/>
        <s v="Spain"/>
      </sharedItems>
    </cacheField>
    <cacheField name="DurationMin" numFmtId="0">
      <sharedItems containsSemiMixedTypes="0" containsString="0" containsNumber="1" containsInteger="1" minValue="4" maxValue="2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s1"/>
    <x v="0"/>
    <x v="0"/>
    <s v="Christopher Nolan"/>
    <s v="Leonardo DiCaprio"/>
    <x v="0"/>
    <s v="September 1, 2020"/>
    <x v="0"/>
    <s v="PG-13"/>
    <s v="148 min"/>
    <s v="Sci-Fi, Thriller"/>
    <s v="A thief enters dreams to steal secrets."/>
    <s v="September 1, 2020"/>
    <x v="0"/>
    <x v="0"/>
    <n v="148"/>
  </r>
  <r>
    <s v="s2"/>
    <x v="1"/>
    <x v="1"/>
    <s v="The Duffer Brothers"/>
    <s v="Millie Bobby Brown"/>
    <x v="0"/>
    <s v="July 15, 2016"/>
    <x v="1"/>
    <s v="TV-14"/>
    <s v="4 Seasons"/>
    <s v="Drama, Sci-Fi, Horror"/>
    <s v="Kids uncover supernatural mysteries in their town."/>
    <s v="July 15, 2016"/>
    <x v="1"/>
    <x v="0"/>
    <n v="4"/>
  </r>
  <r>
    <s v="s3"/>
    <x v="0"/>
    <x v="2"/>
    <s v="Martin Scorsese"/>
    <s v="Robert De Niro"/>
    <x v="0"/>
    <s v="November 27, 2019"/>
    <x v="2"/>
    <s v="R"/>
    <s v="209 min"/>
    <s v="Crime, Drama"/>
    <s v="A hitman recalls his past."/>
    <s v="November 27, 2019"/>
    <x v="2"/>
    <x v="0"/>
    <n v="209"/>
  </r>
  <r>
    <s v="s4"/>
    <x v="0"/>
    <x v="3"/>
    <s v="S. S. Rajamouli"/>
    <s v="Ram Charan, NTR Jr"/>
    <x v="1"/>
    <s v="May 20, 2022"/>
    <x v="3"/>
    <s v="TV-14"/>
    <s v="182 min"/>
    <s v="Action, Drama"/>
    <s v="Two revolutionaries fight for freedom."/>
    <s v="May 20, 2022"/>
    <x v="3"/>
    <x v="1"/>
    <n v="182"/>
  </r>
  <r>
    <s v="s5"/>
    <x v="1"/>
    <x v="4"/>
    <s v="Álex Pina"/>
    <s v="Úrsula Corberó"/>
    <x v="2"/>
    <s v="April 1, 2018"/>
    <x v="4"/>
    <s v="TV-MA"/>
    <s v="5 Seasons"/>
    <s v="Action, Crime, Thriller"/>
    <s v="A group plans a massive heist."/>
    <s v="April 1, 2018"/>
    <x v="3"/>
    <x v="2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66ED3-0157-4125-8F8C-25DBA72D06C1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X1:Y7" firstHeaderRow="1" firstDataRow="1" firstDataCol="1"/>
  <pivotFields count="16"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tle" fld="2" subtotal="count" baseField="0" baseItem="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3CB65-C4A1-4CE3-892E-70F839231944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O1:P5" firstHeaderRow="1" firstDataRow="1" firstDataCol="1"/>
  <pivotFields count="16">
    <pivotField showAll="0"/>
    <pivotField dataField="1" showAll="0"/>
    <pivotField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ype" fld="1" subtotal="count" baseField="0" baseItem="0"/>
  </dataFields>
  <chartFormats count="2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EA9C5-C9EA-43D4-ABC0-DD34C36E230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4" firstHeaderRow="1" firstDataRow="1" firstDataCol="1"/>
  <pivotFields count="16">
    <pivotField showAll="0"/>
    <pivotField axis="axisRow" showAll="0">
      <items count="3">
        <item x="0"/>
        <item x="1"/>
        <item t="default"/>
      </items>
    </pivotField>
    <pivotField dataField="1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itle" fld="2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2539F-2E85-4CF2-9C5C-B575E720A8E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1:J6" firstHeaderRow="1" firstDataRow="1" firstDataCol="1"/>
  <pivotFields count="16">
    <pivotField showAll="0"/>
    <pivotField showAll="0">
      <items count="3">
        <item x="0"/>
        <item x="1"/>
        <item t="default"/>
      </items>
    </pivotField>
    <pivotField dataField="1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tle" fld="2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5C0132-831E-4049-B25A-313D97979588}" name="tblNetflix" displayName="tblNetflix" ref="A1:P6" totalsRowShown="0">
  <autoFilter ref="A1:P6" xr:uid="{A45C0132-831E-4049-B25A-313D97979588}"/>
  <tableColumns count="16">
    <tableColumn id="1" xr3:uid="{46ED5DDA-8A70-437D-9360-7BBCFF3847BF}" name="show_id"/>
    <tableColumn id="2" xr3:uid="{52650C24-F5C4-4491-A5FB-DFDEEC2966F8}" name="type"/>
    <tableColumn id="3" xr3:uid="{77E9786C-DEAA-420B-BDF0-F9EF51625E0F}" name="title"/>
    <tableColumn id="4" xr3:uid="{783D2055-E4FB-4DD1-ADE5-19B16A594DA3}" name="director"/>
    <tableColumn id="5" xr3:uid="{9C2DA9E2-8F88-45E0-99F1-DBAB6F29506F}" name="cast"/>
    <tableColumn id="6" xr3:uid="{5C0E6F5A-5845-47F0-8555-C467F8D6F7F6}" name="country"/>
    <tableColumn id="7" xr3:uid="{736EEF7A-7A5B-4253-85DA-6FD3B03D720F}" name="date_added"/>
    <tableColumn id="8" xr3:uid="{539BA0D1-3EA4-4656-A001-734FF01AC28D}" name="release_year"/>
    <tableColumn id="9" xr3:uid="{2181E968-24D4-4CE7-AFD8-3ACE19DD881F}" name="rating"/>
    <tableColumn id="10" xr3:uid="{413327F3-BF3B-4AC4-BFE7-B04A2E46DB11}" name="duration"/>
    <tableColumn id="11" xr3:uid="{985687F0-F654-4EC2-83AA-1E90B681217F}" name="listed_in"/>
    <tableColumn id="12" xr3:uid="{6C72F839-F4A1-435A-AA9E-415E88600A9C}" name="description"/>
    <tableColumn id="13" xr3:uid="{BD0D3D37-7688-4881-AE00-667A408B4846}" name="DateAdded" dataDxfId="3">
      <calculatedColumnFormula>G2</calculatedColumnFormula>
    </tableColumn>
    <tableColumn id="14" xr3:uid="{8320FF37-B1C6-453F-A643-B60BC198C6E5}" name="PrimaryGenre" dataDxfId="2">
      <calculatedColumnFormula>IFERROR(LEFT(K2, FIND(",", K2)-1), K2)</calculatedColumnFormula>
    </tableColumn>
    <tableColumn id="15" xr3:uid="{A2AF3A04-CAFD-4301-8657-2C21CCD8EC58}" name="PrimaryCountry" dataDxfId="1">
      <calculatedColumnFormula>IFERROR(LEFT(F2, FIND(",", F2)-1), F2)</calculatedColumnFormula>
    </tableColumn>
    <tableColumn id="16" xr3:uid="{A3DA75A9-EEA7-4E4F-995F-25405BCD16AA}" name="DurationMin" dataDxfId="0">
      <calculatedColumnFormula>IFERROR(VALUE(LEFT(J2, FIND(" ", J2)-1)), 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workbookViewId="0">
      <selection activeCell="Q1" sqref="Q1"/>
    </sheetView>
  </sheetViews>
  <sheetFormatPr defaultRowHeight="14.4" x14ac:dyDescent="0.3"/>
  <cols>
    <col min="1" max="1" width="9.88671875" customWidth="1"/>
    <col min="4" max="4" width="9.44140625" customWidth="1"/>
    <col min="6" max="6" width="9.44140625" customWidth="1"/>
    <col min="7" max="7" width="13" customWidth="1"/>
    <col min="8" max="8" width="13.44140625" customWidth="1"/>
    <col min="10" max="10" width="10.109375" customWidth="1"/>
    <col min="11" max="11" width="9.88671875" customWidth="1"/>
    <col min="12" max="12" width="12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64</v>
      </c>
      <c r="N1" t="s">
        <v>61</v>
      </c>
      <c r="O1" t="s">
        <v>62</v>
      </c>
      <c r="P1" t="s">
        <v>63</v>
      </c>
    </row>
    <row r="2" spans="1:1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2010</v>
      </c>
      <c r="I2" t="s">
        <v>19</v>
      </c>
      <c r="J2" t="s">
        <v>20</v>
      </c>
      <c r="K2" t="s">
        <v>21</v>
      </c>
      <c r="L2" t="s">
        <v>22</v>
      </c>
      <c r="M2" t="str">
        <f t="shared" ref="M2:M6" si="0">G2</f>
        <v>September 1, 2020</v>
      </c>
      <c r="N2" t="str">
        <f t="shared" ref="N2:N6" si="1">IFERROR(LEFT(K2, FIND(",", K2)-1), K2)</f>
        <v>Sci-Fi</v>
      </c>
      <c r="O2" t="str">
        <f t="shared" ref="O2:O6" si="2">IFERROR(LEFT(F2, FIND(",", F2)-1), F2)</f>
        <v>United States</v>
      </c>
      <c r="P2">
        <f t="shared" ref="P2:P6" si="3">IFERROR(VALUE(LEFT(J2, FIND(" ", J2)-1)), "")</f>
        <v>148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>
        <v>2016</v>
      </c>
      <c r="I3" t="s">
        <v>29</v>
      </c>
      <c r="J3" t="s">
        <v>30</v>
      </c>
      <c r="K3" t="s">
        <v>31</v>
      </c>
      <c r="L3" t="s">
        <v>32</v>
      </c>
      <c r="M3" t="str">
        <f t="shared" si="0"/>
        <v>July 15, 2016</v>
      </c>
      <c r="N3" t="str">
        <f t="shared" si="1"/>
        <v>Drama</v>
      </c>
      <c r="O3" t="str">
        <f t="shared" si="2"/>
        <v>United States</v>
      </c>
      <c r="P3">
        <f t="shared" si="3"/>
        <v>4</v>
      </c>
    </row>
    <row r="4" spans="1:16" x14ac:dyDescent="0.3">
      <c r="A4" t="s">
        <v>33</v>
      </c>
      <c r="B4" t="s">
        <v>13</v>
      </c>
      <c r="C4" t="s">
        <v>34</v>
      </c>
      <c r="D4" t="s">
        <v>35</v>
      </c>
      <c r="E4" t="s">
        <v>36</v>
      </c>
      <c r="F4" t="s">
        <v>17</v>
      </c>
      <c r="G4" t="s">
        <v>37</v>
      </c>
      <c r="H4">
        <v>2019</v>
      </c>
      <c r="I4" t="s">
        <v>38</v>
      </c>
      <c r="J4" t="s">
        <v>39</v>
      </c>
      <c r="K4" t="s">
        <v>40</v>
      </c>
      <c r="L4" t="s">
        <v>41</v>
      </c>
      <c r="M4" t="str">
        <f t="shared" si="0"/>
        <v>November 27, 2019</v>
      </c>
      <c r="N4" t="str">
        <f t="shared" si="1"/>
        <v>Crime</v>
      </c>
      <c r="O4" t="str">
        <f t="shared" si="2"/>
        <v>United States</v>
      </c>
      <c r="P4">
        <f t="shared" si="3"/>
        <v>209</v>
      </c>
    </row>
    <row r="5" spans="1:16" x14ac:dyDescent="0.3">
      <c r="A5" t="s">
        <v>42</v>
      </c>
      <c r="B5" t="s">
        <v>13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>
        <v>2022</v>
      </c>
      <c r="I5" t="s">
        <v>29</v>
      </c>
      <c r="J5" t="s">
        <v>48</v>
      </c>
      <c r="K5" t="s">
        <v>49</v>
      </c>
      <c r="L5" t="s">
        <v>50</v>
      </c>
      <c r="M5" t="str">
        <f t="shared" si="0"/>
        <v>May 20, 2022</v>
      </c>
      <c r="N5" t="str">
        <f t="shared" si="1"/>
        <v>Action</v>
      </c>
      <c r="O5" t="str">
        <f t="shared" si="2"/>
        <v>India</v>
      </c>
      <c r="P5">
        <f t="shared" si="3"/>
        <v>182</v>
      </c>
    </row>
    <row r="6" spans="1:16" x14ac:dyDescent="0.3">
      <c r="A6" t="s">
        <v>51</v>
      </c>
      <c r="B6" t="s">
        <v>24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>
        <v>2017</v>
      </c>
      <c r="I6" t="s">
        <v>57</v>
      </c>
      <c r="J6" t="s">
        <v>58</v>
      </c>
      <c r="K6" t="s">
        <v>59</v>
      </c>
      <c r="L6" t="s">
        <v>60</v>
      </c>
      <c r="M6" t="str">
        <f t="shared" si="0"/>
        <v>April 1, 2018</v>
      </c>
      <c r="N6" t="str">
        <f t="shared" si="1"/>
        <v>Action</v>
      </c>
      <c r="O6" t="str">
        <f t="shared" si="2"/>
        <v>Spain</v>
      </c>
      <c r="P6">
        <f t="shared" si="3"/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FC37-2916-49E2-B184-F2434A65BCF5}">
  <dimension ref="A1:Y7"/>
  <sheetViews>
    <sheetView topLeftCell="O1" workbookViewId="0">
      <selection activeCell="AC1" sqref="AC1"/>
    </sheetView>
  </sheetViews>
  <sheetFormatPr defaultRowHeight="14.4" x14ac:dyDescent="0.3"/>
  <cols>
    <col min="1" max="1" width="12.5546875" bestFit="1" customWidth="1"/>
    <col min="2" max="2" width="12" bestFit="1" customWidth="1"/>
    <col min="9" max="9" width="12.5546875" bestFit="1" customWidth="1"/>
    <col min="10" max="10" width="12" bestFit="1" customWidth="1"/>
    <col min="15" max="16" width="12.5546875" bestFit="1" customWidth="1"/>
    <col min="24" max="24" width="12.5546875" bestFit="1" customWidth="1"/>
    <col min="25" max="25" width="12" bestFit="1" customWidth="1"/>
  </cols>
  <sheetData>
    <row r="1" spans="1:25" x14ac:dyDescent="0.3">
      <c r="A1" s="1" t="s">
        <v>65</v>
      </c>
      <c r="B1" t="s">
        <v>67</v>
      </c>
      <c r="I1" s="1" t="s">
        <v>65</v>
      </c>
      <c r="J1" t="s">
        <v>67</v>
      </c>
      <c r="O1" s="1" t="s">
        <v>65</v>
      </c>
      <c r="P1" t="s">
        <v>72</v>
      </c>
      <c r="X1" s="1" t="s">
        <v>65</v>
      </c>
      <c r="Y1" t="s">
        <v>67</v>
      </c>
    </row>
    <row r="2" spans="1:25" x14ac:dyDescent="0.3">
      <c r="A2" s="2" t="s">
        <v>13</v>
      </c>
      <c r="B2">
        <v>3</v>
      </c>
      <c r="I2" s="2" t="s">
        <v>68</v>
      </c>
      <c r="J2">
        <v>2</v>
      </c>
      <c r="O2" s="2" t="s">
        <v>46</v>
      </c>
      <c r="P2" s="3">
        <v>1</v>
      </c>
      <c r="X2" s="2">
        <v>2010</v>
      </c>
      <c r="Y2" s="3">
        <v>1</v>
      </c>
    </row>
    <row r="3" spans="1:25" x14ac:dyDescent="0.3">
      <c r="A3" s="2" t="s">
        <v>24</v>
      </c>
      <c r="B3">
        <v>2</v>
      </c>
      <c r="I3" s="2" t="s">
        <v>69</v>
      </c>
      <c r="J3">
        <v>1</v>
      </c>
      <c r="O3" s="2" t="s">
        <v>55</v>
      </c>
      <c r="P3" s="3">
        <v>1</v>
      </c>
      <c r="X3" s="2">
        <v>2016</v>
      </c>
      <c r="Y3" s="3">
        <v>1</v>
      </c>
    </row>
    <row r="4" spans="1:25" x14ac:dyDescent="0.3">
      <c r="A4" s="2" t="s">
        <v>66</v>
      </c>
      <c r="B4">
        <v>5</v>
      </c>
      <c r="I4" s="2" t="s">
        <v>70</v>
      </c>
      <c r="J4">
        <v>1</v>
      </c>
      <c r="O4" s="2" t="s">
        <v>17</v>
      </c>
      <c r="P4" s="3">
        <v>3</v>
      </c>
      <c r="X4" s="2">
        <v>2017</v>
      </c>
      <c r="Y4" s="3">
        <v>1</v>
      </c>
    </row>
    <row r="5" spans="1:25" x14ac:dyDescent="0.3">
      <c r="I5" s="2" t="s">
        <v>71</v>
      </c>
      <c r="J5">
        <v>1</v>
      </c>
      <c r="O5" s="2" t="s">
        <v>66</v>
      </c>
      <c r="P5" s="3">
        <v>5</v>
      </c>
      <c r="X5" s="2">
        <v>2019</v>
      </c>
      <c r="Y5" s="3">
        <v>1</v>
      </c>
    </row>
    <row r="6" spans="1:25" x14ac:dyDescent="0.3">
      <c r="I6" s="2" t="s">
        <v>66</v>
      </c>
      <c r="J6">
        <v>5</v>
      </c>
      <c r="X6" s="2">
        <v>2022</v>
      </c>
      <c r="Y6" s="3">
        <v>1</v>
      </c>
    </row>
    <row r="7" spans="1:25" x14ac:dyDescent="0.3">
      <c r="X7" s="2" t="s">
        <v>66</v>
      </c>
      <c r="Y7" s="3">
        <v>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B68D-D4C2-45A2-B235-A50EEA9014BC}">
  <dimension ref="A1:H1"/>
  <sheetViews>
    <sheetView showGridLines="0" tabSelected="1" workbookViewId="0">
      <selection activeCell="R5" sqref="R5"/>
    </sheetView>
  </sheetViews>
  <sheetFormatPr defaultRowHeight="14.4" x14ac:dyDescent="0.3"/>
  <sheetData>
    <row r="1" spans="1:8" ht="33.6" x14ac:dyDescent="0.65">
      <c r="A1" s="4" t="s">
        <v>73</v>
      </c>
      <c r="B1" s="4"/>
      <c r="C1" s="4"/>
      <c r="D1" s="4"/>
      <c r="E1" s="4"/>
      <c r="F1" s="4"/>
      <c r="G1" s="4"/>
      <c r="H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Netflix Titles</vt:lpstr>
      <vt:lpstr>Pivots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Tripathi</cp:lastModifiedBy>
  <dcterms:created xsi:type="dcterms:W3CDTF">2025-12-02T05:33:12Z</dcterms:created>
  <dcterms:modified xsi:type="dcterms:W3CDTF">2025-12-06T13:02:58Z</dcterms:modified>
</cp:coreProperties>
</file>